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hdm28_bath_ac_uk/Documents/#Y3/ESD/"/>
    </mc:Choice>
  </mc:AlternateContent>
  <xr:revisionPtr revIDLastSave="154" documentId="8_{2AA7E0D5-25BD-437F-A0A3-F768927C9589}" xr6:coauthVersionLast="47" xr6:coauthVersionMax="47" xr10:uidLastSave="{C1A89A35-AC49-46AA-9E26-E0C0D117982E}"/>
  <bookViews>
    <workbookView xWindow="-120" yWindow="-120" windowWidth="38640" windowHeight="21240" xr2:uid="{74BAA68A-223C-47A1-B1D0-050EC3016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7" i="1"/>
  <c r="P6" i="1"/>
  <c r="P8" i="1" l="1"/>
  <c r="AA10" i="1" l="1"/>
  <c r="AA13" i="1" s="1"/>
  <c r="L5" i="1"/>
  <c r="U18" i="1" l="1"/>
  <c r="U16" i="1"/>
  <c r="U19" i="1"/>
  <c r="U17" i="1"/>
  <c r="U20" i="1"/>
  <c r="U21" i="1"/>
  <c r="U14" i="1"/>
  <c r="U23" i="1"/>
  <c r="U15" i="1"/>
  <c r="U22" i="1"/>
</calcChain>
</file>

<file path=xl/sharedStrings.xml><?xml version="1.0" encoding="utf-8"?>
<sst xmlns="http://schemas.openxmlformats.org/spreadsheetml/2006/main" count="25" uniqueCount="25">
  <si>
    <t>velocity</t>
  </si>
  <si>
    <t>time</t>
  </si>
  <si>
    <t>J</t>
  </si>
  <si>
    <t>kgm^2</t>
  </si>
  <si>
    <t>Tf</t>
  </si>
  <si>
    <t>R</t>
  </si>
  <si>
    <t>rad/s</t>
  </si>
  <si>
    <t>Nm</t>
  </si>
  <si>
    <t>T1</t>
  </si>
  <si>
    <t>T2</t>
  </si>
  <si>
    <t>T3</t>
  </si>
  <si>
    <t>T4</t>
  </si>
  <si>
    <t>Trms</t>
  </si>
  <si>
    <t>t2</t>
  </si>
  <si>
    <t>t3</t>
  </si>
  <si>
    <t>t4</t>
  </si>
  <si>
    <t>Trms max</t>
  </si>
  <si>
    <t>T max</t>
  </si>
  <si>
    <t>accel/decel time</t>
  </si>
  <si>
    <t>accel</t>
  </si>
  <si>
    <t>T1 / Nm</t>
  </si>
  <si>
    <t>T3 / Nm</t>
  </si>
  <si>
    <t>decel (abs)</t>
  </si>
  <si>
    <t>.</t>
  </si>
  <si>
    <t>Δω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</si>
</sst>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AEAAAA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43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/>
    <xf numFmtId="0" fontId="3" fillId="0" borderId="3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numFmt numFmtId="2" formatCode="0.00"/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643F"/>
        </patternFill>
      </fill>
    </dxf>
  </dxfs>
  <tableStyles count="0" defaultTableStyle="TableStyleMedium2" defaultPivotStyle="PivotStyleLight16"/>
  <colors>
    <mruColors>
      <color rgb="FFAEAAAA"/>
      <color rgb="FFFF6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Sheet1!$B$5:$B$20</c:f>
              <c:numCache>
                <c:formatCode>General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6</c:v>
                </c:pt>
                <c:pt idx="10">
                  <c:v>6.5</c:v>
                </c:pt>
                <c:pt idx="15">
                  <c:v>7</c:v>
                </c:pt>
              </c:numCache>
            </c:numRef>
          </c:cat>
          <c:val>
            <c:numRef>
              <c:f>Sheet1!$C$5:$C$20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2-4815-84E7-A5BBBA709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21312"/>
        <c:axId val="279117984"/>
      </c:lineChart>
      <c:catAx>
        <c:axId val="2791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17984"/>
        <c:crosses val="autoZero"/>
        <c:auto val="1"/>
        <c:lblAlgn val="ctr"/>
        <c:lblOffset val="100"/>
        <c:noMultiLvlLbl val="0"/>
      </c:catAx>
      <c:valAx>
        <c:axId val="279117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21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23</xdr:row>
      <xdr:rowOff>0</xdr:rowOff>
    </xdr:from>
    <xdr:to>
      <xdr:col>8</xdr:col>
      <xdr:colOff>342900</xdr:colOff>
      <xdr:row>35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2B9A2-82F2-6736-09B4-208310ADF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63F9A-17AB-446D-869E-4C6D6711DA5F}" name="Table1" displayName="Table1" ref="V12:X25" totalsRowShown="0" tableBorderDxfId="3">
  <autoFilter ref="V12:X25" xr:uid="{9F563F9A-17AB-446D-869E-4C6D6711DA5F}"/>
  <tableColumns count="3">
    <tableColumn id="1" xr3:uid="{E4CFA757-80BD-42C3-AD63-0865A7AF2000}" name="." dataDxfId="2"/>
    <tableColumn id="2" xr3:uid="{F5630E51-0B87-41A7-876A-EF31B14873C3}" name="accel" dataDxfId="1">
      <calculatedColumnFormula>($L$6/$L$7)+$L$5*($L$8/V13)</calculatedColumnFormula>
    </tableColumn>
    <tableColumn id="3" xr3:uid="{A0946A95-9F2A-46F9-B149-39DCD2CB1CDA}" name="decel (abs)" dataDxfId="0">
      <calculatedColumnFormula>ABS(U13)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2D65-336A-4ACE-B679-EB3CD5397F7A}">
  <dimension ref="B2:AA28"/>
  <sheetViews>
    <sheetView tabSelected="1" topLeftCell="J1" zoomScale="145" zoomScaleNormal="145" workbookViewId="0">
      <selection activeCell="AA7" sqref="AA7"/>
    </sheetView>
  </sheetViews>
  <sheetFormatPr defaultRowHeight="15" x14ac:dyDescent="0.25"/>
  <cols>
    <col min="12" max="12" width="12" customWidth="1"/>
    <col min="22" max="22" width="14.85546875" customWidth="1"/>
    <col min="24" max="24" width="11.140625" customWidth="1"/>
  </cols>
  <sheetData>
    <row r="2" spans="2:27" x14ac:dyDescent="0.25">
      <c r="R2" t="s">
        <v>16</v>
      </c>
      <c r="S2">
        <v>1.5</v>
      </c>
    </row>
    <row r="3" spans="2:27" x14ac:dyDescent="0.25">
      <c r="R3" t="s">
        <v>17</v>
      </c>
      <c r="S3">
        <v>2.4</v>
      </c>
    </row>
    <row r="4" spans="2:27" x14ac:dyDescent="0.25">
      <c r="B4" t="s">
        <v>1</v>
      </c>
      <c r="C4" t="s">
        <v>0</v>
      </c>
    </row>
    <row r="5" spans="2:27" x14ac:dyDescent="0.25">
      <c r="B5">
        <v>0</v>
      </c>
      <c r="C5">
        <v>0</v>
      </c>
      <c r="K5" s="1" t="s">
        <v>2</v>
      </c>
      <c r="L5">
        <f>2.142*10^-3</f>
        <v>2.1419999999999998E-3</v>
      </c>
      <c r="M5" t="s">
        <v>3</v>
      </c>
      <c r="O5" t="s">
        <v>8</v>
      </c>
      <c r="P5" s="4">
        <f>(L6/L7)+L5*(L8/AA6)</f>
        <v>6.9550569866789154</v>
      </c>
    </row>
    <row r="6" spans="2:27" x14ac:dyDescent="0.25">
      <c r="B6">
        <v>0.5</v>
      </c>
      <c r="C6">
        <v>1</v>
      </c>
      <c r="K6" s="1" t="s">
        <v>4</v>
      </c>
      <c r="L6">
        <v>18.75</v>
      </c>
      <c r="M6" t="s">
        <v>7</v>
      </c>
      <c r="O6" t="s">
        <v>9</v>
      </c>
      <c r="P6" s="3">
        <f>L6/L7</f>
        <v>0.86127698667891595</v>
      </c>
      <c r="Z6" t="s">
        <v>13</v>
      </c>
      <c r="AA6">
        <v>0.10199999999999999</v>
      </c>
    </row>
    <row r="7" spans="2:27" x14ac:dyDescent="0.25">
      <c r="B7">
        <v>1</v>
      </c>
      <c r="C7">
        <v>1</v>
      </c>
      <c r="K7" s="1" t="s">
        <v>5</v>
      </c>
      <c r="L7">
        <v>21.77</v>
      </c>
      <c r="O7" t="s">
        <v>10</v>
      </c>
      <c r="P7" s="4">
        <f>(L6/L7)+L5*(-L8/AA8)</f>
        <v>-3.1488234004178577</v>
      </c>
      <c r="Z7" t="s">
        <v>14</v>
      </c>
      <c r="AA7">
        <v>0.81200000000000006</v>
      </c>
    </row>
    <row r="8" spans="2:27" ht="15.75" x14ac:dyDescent="0.25">
      <c r="B8">
        <v>1.5</v>
      </c>
      <c r="C8">
        <v>1</v>
      </c>
      <c r="K8" s="10" t="s">
        <v>24</v>
      </c>
      <c r="L8">
        <v>290.18</v>
      </c>
      <c r="M8" t="s">
        <v>6</v>
      </c>
      <c r="O8" t="s">
        <v>11</v>
      </c>
      <c r="P8" s="3">
        <f>L6/L7</f>
        <v>0.86127698667891595</v>
      </c>
      <c r="Z8" t="s">
        <v>15</v>
      </c>
      <c r="AA8">
        <v>0.155</v>
      </c>
    </row>
    <row r="9" spans="2:27" x14ac:dyDescent="0.25">
      <c r="B9">
        <v>2</v>
      </c>
      <c r="C9">
        <v>0</v>
      </c>
      <c r="K9" s="1"/>
      <c r="AA9">
        <v>2</v>
      </c>
    </row>
    <row r="10" spans="2:27" x14ac:dyDescent="0.25">
      <c r="B10">
        <v>2.5</v>
      </c>
      <c r="C10">
        <v>0</v>
      </c>
      <c r="K10" s="1"/>
      <c r="AA10">
        <f>SUM(AA6:AA9)</f>
        <v>3.069</v>
      </c>
    </row>
    <row r="11" spans="2:27" x14ac:dyDescent="0.25">
      <c r="B11">
        <v>3</v>
      </c>
      <c r="C11">
        <v>0</v>
      </c>
      <c r="K11" s="1"/>
    </row>
    <row r="12" spans="2:27" x14ac:dyDescent="0.25">
      <c r="B12">
        <v>3.5</v>
      </c>
      <c r="C12">
        <v>0</v>
      </c>
      <c r="K12" s="1"/>
      <c r="V12" s="9" t="s">
        <v>23</v>
      </c>
      <c r="W12" s="8" t="s">
        <v>19</v>
      </c>
      <c r="X12" t="s">
        <v>22</v>
      </c>
      <c r="AA12" s="3"/>
    </row>
    <row r="13" spans="2:27" ht="15.75" thickBot="1" x14ac:dyDescent="0.3">
      <c r="B13">
        <v>4</v>
      </c>
      <c r="C13">
        <v>0</v>
      </c>
      <c r="K13" s="1"/>
      <c r="L13" s="2"/>
      <c r="V13" s="6" t="s">
        <v>18</v>
      </c>
      <c r="W13" s="7" t="s">
        <v>20</v>
      </c>
      <c r="X13" s="1" t="s">
        <v>21</v>
      </c>
      <c r="Z13" t="s">
        <v>12</v>
      </c>
      <c r="AA13">
        <f>SQRT((1/AA10)*((AA6*(W23^2))+(AA7*(P6^2))+(AA8*(X16^2))+(AA9*(P8^2))))</f>
        <v>1.0716522372259187</v>
      </c>
    </row>
    <row r="14" spans="2:27" ht="15.75" thickBot="1" x14ac:dyDescent="0.3">
      <c r="B14">
        <v>6</v>
      </c>
      <c r="C14">
        <v>0</v>
      </c>
      <c r="U14" s="5">
        <f>($L$6/$L$7)+$L$5*(-$L$8/V14)</f>
        <v>-5.3543786133210833</v>
      </c>
      <c r="V14" s="11">
        <v>0.1</v>
      </c>
      <c r="W14" s="12">
        <v>5.83</v>
      </c>
      <c r="X14" s="12">
        <v>4.1100000000000003</v>
      </c>
    </row>
    <row r="15" spans="2:27" ht="15.75" thickBot="1" x14ac:dyDescent="0.3">
      <c r="B15">
        <v>6.5</v>
      </c>
      <c r="C15">
        <v>0</v>
      </c>
      <c r="U15" s="5">
        <f>($L$6/$L$7)+$L$5*(-$L$8/V15)</f>
        <v>-3.2824934133210841</v>
      </c>
      <c r="V15" s="13">
        <v>0.15</v>
      </c>
      <c r="W15" s="14">
        <v>4.18</v>
      </c>
      <c r="X15" s="14">
        <v>2.4500000000000002</v>
      </c>
    </row>
    <row r="16" spans="2:27" ht="15.75" thickBot="1" x14ac:dyDescent="0.3">
      <c r="U16" s="5">
        <f t="shared" ref="U16:U19" si="0">($L$6/$L$7)+$L$5*(-$L$8/V16)</f>
        <v>-3.1488234004178577</v>
      </c>
      <c r="V16" s="15">
        <v>0.155</v>
      </c>
      <c r="W16" s="14">
        <v>4.07</v>
      </c>
      <c r="X16" s="20">
        <v>2.35</v>
      </c>
    </row>
    <row r="17" spans="2:24" ht="15.75" thickBot="1" x14ac:dyDescent="0.3">
      <c r="U17" s="5">
        <f t="shared" si="0"/>
        <v>-3.0235077633210836</v>
      </c>
      <c r="V17" s="13">
        <v>0.16</v>
      </c>
      <c r="W17" s="14">
        <v>3.97</v>
      </c>
      <c r="X17" s="21">
        <v>2.25</v>
      </c>
    </row>
    <row r="18" spans="2:24" ht="15.75" thickBot="1" x14ac:dyDescent="0.3">
      <c r="U18" s="5">
        <f t="shared" si="0"/>
        <v>-2.2465508133210834</v>
      </c>
      <c r="V18" s="13">
        <v>0.2</v>
      </c>
      <c r="W18" s="14">
        <v>3.35</v>
      </c>
      <c r="X18" s="16">
        <v>1.62</v>
      </c>
    </row>
    <row r="19" spans="2:24" ht="15.75" thickBot="1" x14ac:dyDescent="0.3">
      <c r="U19" s="5">
        <f t="shared" si="0"/>
        <v>-1.6249852533210838</v>
      </c>
      <c r="V19" s="13">
        <v>0.25</v>
      </c>
      <c r="W19" s="14">
        <v>2.85</v>
      </c>
      <c r="X19" s="16">
        <v>1.1299999999999999</v>
      </c>
    </row>
    <row r="20" spans="2:24" ht="15.75" thickBot="1" x14ac:dyDescent="0.3">
      <c r="B20">
        <v>7</v>
      </c>
      <c r="C20">
        <v>0</v>
      </c>
      <c r="U20" s="5">
        <f>($L$6/$L$7)+$L$5*(-$L$8/V20)</f>
        <v>-1.210608213321084</v>
      </c>
      <c r="V20" s="13">
        <v>0.3</v>
      </c>
      <c r="W20" s="14">
        <v>2.52</v>
      </c>
      <c r="X20" s="16">
        <v>0.8</v>
      </c>
    </row>
    <row r="21" spans="2:24" ht="15.75" thickBot="1" x14ac:dyDescent="0.3">
      <c r="U21" s="5">
        <f>($L$6/$L$7)+$L$5*(-$L$8/V21)</f>
        <v>-1.1437732068694708</v>
      </c>
      <c r="V21" s="13">
        <v>0.31</v>
      </c>
      <c r="W21" s="14">
        <v>2.4700000000000002</v>
      </c>
      <c r="X21" s="16">
        <v>0.74</v>
      </c>
    </row>
    <row r="22" spans="2:24" ht="15.75" thickBot="1" x14ac:dyDescent="0.3">
      <c r="U22" s="5">
        <f>($L$6/$L$7)+$L$5*(-$L$8/V22)</f>
        <v>-1.0811153883210838</v>
      </c>
      <c r="V22" s="13">
        <v>0.32</v>
      </c>
      <c r="W22" s="14">
        <v>2.42</v>
      </c>
      <c r="X22" s="16">
        <v>0.69</v>
      </c>
    </row>
    <row r="23" spans="2:24" ht="15.75" thickBot="1" x14ac:dyDescent="0.3">
      <c r="U23" s="5">
        <f>($L$6/$L$7)+$L$5*(-$L$8/V23)</f>
        <v>-1.0512324287056991</v>
      </c>
      <c r="V23" s="15">
        <v>0.32500000000000001</v>
      </c>
      <c r="W23" s="20">
        <v>2.39</v>
      </c>
      <c r="X23" s="16">
        <v>0.67</v>
      </c>
    </row>
    <row r="24" spans="2:24" ht="15.75" thickBot="1" x14ac:dyDescent="0.3">
      <c r="U24" s="5"/>
      <c r="V24" s="17"/>
      <c r="W24" s="22"/>
      <c r="X24" s="17"/>
    </row>
    <row r="25" spans="2:24" ht="15.75" thickBot="1" x14ac:dyDescent="0.3">
      <c r="U25" s="5"/>
      <c r="V25" s="18"/>
      <c r="W25" s="19"/>
      <c r="X25" s="17"/>
    </row>
    <row r="26" spans="2:24" x14ac:dyDescent="0.25">
      <c r="U26" s="5"/>
      <c r="V26" s="4"/>
      <c r="W26" s="4"/>
      <c r="X26" s="4"/>
    </row>
    <row r="27" spans="2:24" x14ac:dyDescent="0.25">
      <c r="V27" s="4"/>
      <c r="W27" s="4"/>
      <c r="X27" s="4"/>
    </row>
    <row r="28" spans="2:24" x14ac:dyDescent="0.25">
      <c r="V28" s="4"/>
      <c r="W28" s="4"/>
      <c r="X28" s="4"/>
    </row>
  </sheetData>
  <conditionalFormatting sqref="W26:W28 X26:X141">
    <cfRule type="expression" dxfId="4" priority="1">
      <formula>W26&gt;$S$3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Mills</dc:creator>
  <cp:lastModifiedBy>Harry Mills</cp:lastModifiedBy>
  <dcterms:created xsi:type="dcterms:W3CDTF">2022-11-14T20:58:34Z</dcterms:created>
  <dcterms:modified xsi:type="dcterms:W3CDTF">2022-11-15T18:02:21Z</dcterms:modified>
</cp:coreProperties>
</file>